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betteridge/Desktop/"/>
    </mc:Choice>
  </mc:AlternateContent>
  <xr:revisionPtr revIDLastSave="0" documentId="13_ncr:1_{95C516EF-FA7C-1949-AA82-D99E7D944258}" xr6:coauthVersionLast="47" xr6:coauthVersionMax="47" xr10:uidLastSave="{00000000-0000-0000-0000-000000000000}"/>
  <bookViews>
    <workbookView xWindow="-37380" yWindow="-13620" windowWidth="38400" windowHeight="20980" activeTab="2" xr2:uid="{E5533AA6-1F02-9246-A373-957D99A3BD0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E3" i="3"/>
  <c r="E11" i="3"/>
  <c r="I28" i="3"/>
  <c r="R25" i="3"/>
  <c r="R23" i="3"/>
  <c r="R24" i="3" s="1"/>
  <c r="R15" i="3"/>
  <c r="R19" i="3"/>
  <c r="G38" i="3"/>
  <c r="E8" i="3"/>
  <c r="E38" i="3" s="1"/>
  <c r="G39" i="3" s="1"/>
  <c r="E28" i="3"/>
  <c r="G3" i="3"/>
  <c r="E7" i="3"/>
  <c r="X22" i="3"/>
  <c r="X21" i="3"/>
  <c r="AC31" i="3"/>
  <c r="AC30" i="3"/>
  <c r="Z20" i="3"/>
  <c r="X20" i="3"/>
  <c r="W10" i="3"/>
  <c r="X14" i="3"/>
  <c r="X13" i="3"/>
  <c r="X12" i="3"/>
  <c r="W8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6" i="3"/>
  <c r="M16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4" i="3"/>
  <c r="B9" i="2"/>
  <c r="B13" i="2" s="1"/>
  <c r="B14" i="2" s="1"/>
  <c r="B15" i="2" s="1"/>
  <c r="E12" i="3" l="1"/>
  <c r="E13" i="3" s="1"/>
  <c r="R20" i="3"/>
  <c r="R21" i="3" s="1"/>
  <c r="G8" i="3"/>
  <c r="G10" i="3" s="1"/>
  <c r="E9" i="3" l="1"/>
</calcChain>
</file>

<file path=xl/sharedStrings.xml><?xml version="1.0" encoding="utf-8"?>
<sst xmlns="http://schemas.openxmlformats.org/spreadsheetml/2006/main" count="102" uniqueCount="91">
  <si>
    <t>Train out</t>
  </si>
  <si>
    <t>Train back</t>
  </si>
  <si>
    <t>Hotel 1</t>
  </si>
  <si>
    <t>Hotel 2</t>
  </si>
  <si>
    <t>Food 1</t>
  </si>
  <si>
    <t>Food 2</t>
  </si>
  <si>
    <t>weeks</t>
  </si>
  <si>
    <t>cost</t>
  </si>
  <si>
    <t>gross</t>
  </si>
  <si>
    <t>salary</t>
  </si>
  <si>
    <t>After 126, then every 4067 we get 13</t>
  </si>
  <si>
    <t>After 125, then every 4095 we get three</t>
  </si>
  <si>
    <t xml:space="preserve">125 (552) </t>
  </si>
  <si>
    <t xml:space="preserve">1017 (588) </t>
  </si>
  <si>
    <t xml:space="preserve">4220 (552) </t>
  </si>
  <si>
    <t xml:space="preserve">5112 (588) </t>
  </si>
  <si>
    <t xml:space="preserve">8315 (552) </t>
  </si>
  <si>
    <t xml:space="preserve">9207 (588) </t>
  </si>
  <si>
    <t xml:space="preserve">12410 (552) </t>
  </si>
  <si>
    <t xml:space="preserve">13302 (588) </t>
  </si>
  <si>
    <t xml:space="preserve">16505 (552) </t>
  </si>
  <si>
    <t xml:space="preserve">17397 (588) </t>
  </si>
  <si>
    <t xml:space="preserve">20600 (552) </t>
  </si>
  <si>
    <t xml:space="preserve">21492 (588) </t>
  </si>
  <si>
    <t xml:space="preserve">24695 (552) </t>
  </si>
  <si>
    <t xml:space="preserve">25587 (588) </t>
  </si>
  <si>
    <t xml:space="preserve">28790 (552) </t>
  </si>
  <si>
    <t xml:space="preserve">29682 (588) </t>
  </si>
  <si>
    <t xml:space="preserve">32885 (552) </t>
  </si>
  <si>
    <t xml:space="preserve">33777 (588) </t>
  </si>
  <si>
    <t xml:space="preserve">36980 (552) </t>
  </si>
  <si>
    <t xml:space="preserve">37872 (588) </t>
  </si>
  <si>
    <t xml:space="preserve">126 (640) </t>
  </si>
  <si>
    <t xml:space="preserve">154 (540) </t>
  </si>
  <si>
    <t xml:space="preserve">216 (436) </t>
  </si>
  <si>
    <t xml:space="preserve">278 (556) </t>
  </si>
  <si>
    <t xml:space="preserve">1810 (552) </t>
  </si>
  <si>
    <t xml:space="preserve">2076 (620) </t>
  </si>
  <si>
    <t xml:space="preserve">2656 (532) </t>
  </si>
  <si>
    <t xml:space="preserve">2732 (576) </t>
  </si>
  <si>
    <t xml:space="preserve">3166 (540) </t>
  </si>
  <si>
    <t xml:space="preserve">3244 (532) </t>
  </si>
  <si>
    <t xml:space="preserve">3273 (548) </t>
  </si>
  <si>
    <t xml:space="preserve">3828 (564) </t>
  </si>
  <si>
    <t xml:space="preserve">4035 (536) </t>
  </si>
  <si>
    <t xml:space="preserve">4221 (640) </t>
  </si>
  <si>
    <t xml:space="preserve">4249 (540) </t>
  </si>
  <si>
    <t xml:space="preserve">4311 (436) </t>
  </si>
  <si>
    <t xml:space="preserve">4373 (556) </t>
  </si>
  <si>
    <t xml:space="preserve">5905 (552) </t>
  </si>
  <si>
    <t xml:space="preserve">6171 (620) </t>
  </si>
  <si>
    <t xml:space="preserve">6751 (532) </t>
  </si>
  <si>
    <t xml:space="preserve">6827 (576) </t>
  </si>
  <si>
    <t xml:space="preserve">7261 (540) </t>
  </si>
  <si>
    <t xml:space="preserve">7339 (532) </t>
  </si>
  <si>
    <t xml:space="preserve">7368 (548) </t>
  </si>
  <si>
    <t xml:space="preserve">7923 (564) </t>
  </si>
  <si>
    <t xml:space="preserve">8130 (536) </t>
  </si>
  <si>
    <t xml:space="preserve">8316 (640) </t>
  </si>
  <si>
    <t xml:space="preserve">8344 (540) </t>
  </si>
  <si>
    <t xml:space="preserve">8406 (436) </t>
  </si>
  <si>
    <t xml:space="preserve">8468 (556) </t>
  </si>
  <si>
    <t>Cycle</t>
  </si>
  <si>
    <t>Contains</t>
  </si>
  <si>
    <t xml:space="preserve">Starts </t>
  </si>
  <si>
    <t>Rounds</t>
  </si>
  <si>
    <t>Warmup</t>
  </si>
  <si>
    <t>Whole</t>
  </si>
  <si>
    <t>Left</t>
  </si>
  <si>
    <t>Extra</t>
  </si>
  <si>
    <t xml:space="preserve">999994220 (640) </t>
  </si>
  <si>
    <t xml:space="preserve">999994248 (540) </t>
  </si>
  <si>
    <t xml:space="preserve">999994310 (436) </t>
  </si>
  <si>
    <t xml:space="preserve">999994372 (556) </t>
  </si>
  <si>
    <t xml:space="preserve">999995904 (552) </t>
  </si>
  <si>
    <t xml:space="preserve">999996170 (620) </t>
  </si>
  <si>
    <t xml:space="preserve">999996750 (532) </t>
  </si>
  <si>
    <t xml:space="preserve">999996826 (576) </t>
  </si>
  <si>
    <t xml:space="preserve">999997260 (540) </t>
  </si>
  <si>
    <t xml:space="preserve">999997338 (532) </t>
  </si>
  <si>
    <t xml:space="preserve">999997367 (548) </t>
  </si>
  <si>
    <t xml:space="preserve">999997922 (564) </t>
  </si>
  <si>
    <t xml:space="preserve">999998129 (536) </t>
  </si>
  <si>
    <t xml:space="preserve">999998315 (640) </t>
  </si>
  <si>
    <t xml:space="preserve">999998343 (540) </t>
  </si>
  <si>
    <t xml:space="preserve">999998405 (436) </t>
  </si>
  <si>
    <t xml:space="preserve">999998467 (556) </t>
  </si>
  <si>
    <t xml:space="preserve">999999999 (552) </t>
  </si>
  <si>
    <t>Active Per Cycle</t>
  </si>
  <si>
    <t>Total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</si>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</sst>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794FF"/>
      <name val="Monaco"/>
      <family val="2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4" fillId="0" borderId="0" xfId="0" applyFont="1"/>
    <xf numFmtId="0" fontId="0" fillId="5" borderId="0" xfId="0" applyFill="1"/>
    <xf numFmtId="0" fontId="3" fillId="4" borderId="0" xfId="3"/>
    <xf numFmtId="0" fontId="1" fillId="2" borderId="0" xfId="1"/>
    <xf numFmtId="0" fontId="5" fillId="0" borderId="0" xfId="0" applyFont="1"/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B506-7283-5A43-A2C3-3C2FB7DC5233}">
  <dimension ref="A1:B51"/>
  <sheetViews>
    <sheetView topLeftCell="A5" workbookViewId="0">
      <selection activeCell="A31" sqref="A31"/>
    </sheetView>
  </sheetViews>
  <sheetFormatPr baseColWidth="10" defaultRowHeight="16" x14ac:dyDescent="0.2"/>
  <sheetData>
    <row r="1" spans="1:2" x14ac:dyDescent="0.2">
      <c r="A1">
        <v>1</v>
      </c>
      <c r="B1">
        <v>0</v>
      </c>
    </row>
    <row r="2" spans="1:2" x14ac:dyDescent="0.2">
      <c r="A2">
        <v>102</v>
      </c>
      <c r="B2">
        <v>1</v>
      </c>
    </row>
    <row r="3" spans="1:2" x14ac:dyDescent="0.2">
      <c r="A3">
        <v>476</v>
      </c>
    </row>
    <row r="4" spans="1:2" x14ac:dyDescent="0.2">
      <c r="A4">
        <v>762</v>
      </c>
      <c r="B4">
        <v>2</v>
      </c>
    </row>
    <row r="5" spans="1:2" x14ac:dyDescent="0.2">
      <c r="A5">
        <v>159</v>
      </c>
    </row>
    <row r="6" spans="1:2" x14ac:dyDescent="0.2">
      <c r="A6">
        <v>730</v>
      </c>
      <c r="B6">
        <v>3</v>
      </c>
    </row>
    <row r="7" spans="1:2" x14ac:dyDescent="0.2">
      <c r="A7">
        <v>933</v>
      </c>
    </row>
    <row r="8" spans="1:2" x14ac:dyDescent="0.2">
      <c r="A8">
        <v>473</v>
      </c>
      <c r="B8">
        <v>4</v>
      </c>
    </row>
    <row r="9" spans="1:2" x14ac:dyDescent="0.2">
      <c r="A9">
        <v>810</v>
      </c>
    </row>
    <row r="10" spans="1:2" x14ac:dyDescent="0.2">
      <c r="A10">
        <v>164</v>
      </c>
      <c r="B10">
        <v>5</v>
      </c>
    </row>
    <row r="11" spans="1:2" x14ac:dyDescent="0.2">
      <c r="A11">
        <v>350</v>
      </c>
    </row>
    <row r="12" spans="1:2" x14ac:dyDescent="0.2">
      <c r="A12">
        <v>328</v>
      </c>
      <c r="B12">
        <v>6</v>
      </c>
    </row>
    <row r="13" spans="1:2" x14ac:dyDescent="0.2">
      <c r="A13">
        <v>280</v>
      </c>
    </row>
    <row r="14" spans="1:2" x14ac:dyDescent="0.2">
      <c r="A14">
        <v>784</v>
      </c>
      <c r="B14">
        <v>7</v>
      </c>
    </row>
    <row r="15" spans="1:2" x14ac:dyDescent="0.2">
      <c r="A15">
        <v>989</v>
      </c>
    </row>
    <row r="16" spans="1:2" x14ac:dyDescent="0.2">
      <c r="A16">
        <v>472</v>
      </c>
      <c r="B16">
        <v>8</v>
      </c>
    </row>
    <row r="17" spans="1:2" x14ac:dyDescent="0.2">
      <c r="A17">
        <v>329</v>
      </c>
    </row>
    <row r="18" spans="1:2" x14ac:dyDescent="0.2">
      <c r="A18">
        <v>541</v>
      </c>
      <c r="B18">
        <v>9</v>
      </c>
    </row>
    <row r="19" spans="1:2" x14ac:dyDescent="0.2">
      <c r="A19">
        <v>786</v>
      </c>
    </row>
    <row r="20" spans="1:2" x14ac:dyDescent="0.2">
      <c r="A20">
        <v>802</v>
      </c>
      <c r="B20">
        <v>10</v>
      </c>
    </row>
    <row r="21" spans="1:2" x14ac:dyDescent="0.2">
      <c r="A21">
        <v>950</v>
      </c>
    </row>
    <row r="22" spans="1:2" x14ac:dyDescent="0.2">
      <c r="A22">
        <v>783</v>
      </c>
      <c r="B22">
        <v>11</v>
      </c>
    </row>
    <row r="23" spans="1:2" x14ac:dyDescent="0.2">
      <c r="A23">
        <v>566</v>
      </c>
    </row>
    <row r="24" spans="1:2" x14ac:dyDescent="0.2">
      <c r="A24">
        <v>825</v>
      </c>
      <c r="B24">
        <v>12</v>
      </c>
    </row>
    <row r="25" spans="1:2" x14ac:dyDescent="0.2">
      <c r="A25">
        <v>324</v>
      </c>
    </row>
    <row r="26" spans="1:2" x14ac:dyDescent="0.2">
      <c r="A26">
        <v>985</v>
      </c>
      <c r="B26">
        <v>13</v>
      </c>
    </row>
    <row r="27" spans="1:2" x14ac:dyDescent="0.2">
      <c r="A27">
        <v>644</v>
      </c>
    </row>
    <row r="28" spans="1:2" x14ac:dyDescent="0.2">
      <c r="A28">
        <v>469</v>
      </c>
      <c r="B28">
        <v>14</v>
      </c>
    </row>
    <row r="29" spans="1:2" x14ac:dyDescent="0.2">
      <c r="A29">
        <v>835</v>
      </c>
    </row>
    <row r="30" spans="1:2" x14ac:dyDescent="0.2">
      <c r="A30">
        <v>312</v>
      </c>
      <c r="B30">
        <v>15</v>
      </c>
    </row>
    <row r="31" spans="1:2" x14ac:dyDescent="0.2">
      <c r="A31">
        <v>903</v>
      </c>
      <c r="B31">
        <v>36</v>
      </c>
    </row>
    <row r="32" spans="1:2" x14ac:dyDescent="0.2">
      <c r="A32">
        <v>190</v>
      </c>
      <c r="B32">
        <v>16</v>
      </c>
    </row>
    <row r="33" spans="1:2" x14ac:dyDescent="0.2">
      <c r="A33">
        <v>113</v>
      </c>
      <c r="B33">
        <v>35</v>
      </c>
    </row>
    <row r="34" spans="1:2" x14ac:dyDescent="0.2">
      <c r="A34">
        <v>824</v>
      </c>
      <c r="B34">
        <v>17</v>
      </c>
    </row>
    <row r="35" spans="1:2" x14ac:dyDescent="0.2">
      <c r="A35">
        <v>196</v>
      </c>
      <c r="B35">
        <v>34</v>
      </c>
    </row>
    <row r="36" spans="1:2" x14ac:dyDescent="0.2">
      <c r="A36">
        <v>467</v>
      </c>
      <c r="B36">
        <v>18</v>
      </c>
    </row>
    <row r="37" spans="1:2" x14ac:dyDescent="0.2">
      <c r="A37">
        <v>614</v>
      </c>
      <c r="B37">
        <v>33</v>
      </c>
    </row>
    <row r="38" spans="1:2" x14ac:dyDescent="0.2">
      <c r="A38">
        <v>254</v>
      </c>
      <c r="B38">
        <v>19</v>
      </c>
    </row>
    <row r="39" spans="1:2" x14ac:dyDescent="0.2">
      <c r="A39">
        <v>406</v>
      </c>
      <c r="B39">
        <v>32</v>
      </c>
    </row>
    <row r="40" spans="1:2" x14ac:dyDescent="0.2">
      <c r="A40">
        <v>105</v>
      </c>
      <c r="B40">
        <v>20</v>
      </c>
    </row>
    <row r="41" spans="1:2" x14ac:dyDescent="0.2">
      <c r="A41">
        <v>600</v>
      </c>
      <c r="B41">
        <v>31</v>
      </c>
    </row>
    <row r="42" spans="1:2" x14ac:dyDescent="0.2">
      <c r="A42">
        <v>477</v>
      </c>
      <c r="B42">
        <v>21</v>
      </c>
    </row>
    <row r="43" spans="1:2" x14ac:dyDescent="0.2">
      <c r="A43">
        <v>641</v>
      </c>
      <c r="B43">
        <v>30</v>
      </c>
    </row>
    <row r="44" spans="1:2" x14ac:dyDescent="0.2">
      <c r="A44">
        <v>410</v>
      </c>
      <c r="B44">
        <v>22</v>
      </c>
    </row>
    <row r="45" spans="1:2" x14ac:dyDescent="0.2">
      <c r="A45">
        <v>997</v>
      </c>
      <c r="B45">
        <v>29</v>
      </c>
    </row>
    <row r="46" spans="1:2" x14ac:dyDescent="0.2">
      <c r="A46">
        <v>101</v>
      </c>
      <c r="B46">
        <v>23</v>
      </c>
    </row>
    <row r="47" spans="1:2" x14ac:dyDescent="0.2">
      <c r="A47">
        <v>286</v>
      </c>
      <c r="B47">
        <v>28</v>
      </c>
    </row>
    <row r="48" spans="1:2" x14ac:dyDescent="0.2">
      <c r="A48">
        <v>414</v>
      </c>
      <c r="B48">
        <v>24</v>
      </c>
    </row>
    <row r="49" spans="1:2" x14ac:dyDescent="0.2">
      <c r="A49">
        <v>515</v>
      </c>
      <c r="B49">
        <v>27</v>
      </c>
    </row>
    <row r="50" spans="1:2" x14ac:dyDescent="0.2">
      <c r="A50">
        <v>827</v>
      </c>
      <c r="B50">
        <v>25</v>
      </c>
    </row>
    <row r="51" spans="1:2" x14ac:dyDescent="0.2">
      <c r="A51">
        <v>682</v>
      </c>
      <c r="B5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8DC6-9A5F-0B4A-9157-3279BAD8579E}">
  <dimension ref="A3:B15"/>
  <sheetViews>
    <sheetView workbookViewId="0">
      <selection activeCell="B4" sqref="B4"/>
    </sheetView>
  </sheetViews>
  <sheetFormatPr baseColWidth="10" defaultRowHeight="16" x14ac:dyDescent="0.2"/>
  <sheetData>
    <row r="3" spans="1:2" x14ac:dyDescent="0.2">
      <c r="A3" t="s">
        <v>0</v>
      </c>
      <c r="B3">
        <v>75</v>
      </c>
    </row>
    <row r="4" spans="1:2" x14ac:dyDescent="0.2">
      <c r="A4" t="s">
        <v>1</v>
      </c>
      <c r="B4">
        <v>0</v>
      </c>
    </row>
    <row r="5" spans="1:2" x14ac:dyDescent="0.2">
      <c r="A5" t="s">
        <v>2</v>
      </c>
      <c r="B5">
        <v>70</v>
      </c>
    </row>
    <row r="6" spans="1:2" x14ac:dyDescent="0.2">
      <c r="A6" t="s">
        <v>3</v>
      </c>
      <c r="B6">
        <v>60</v>
      </c>
    </row>
    <row r="7" spans="1:2" x14ac:dyDescent="0.2">
      <c r="A7" t="s">
        <v>4</v>
      </c>
      <c r="B7">
        <v>10</v>
      </c>
    </row>
    <row r="8" spans="1:2" x14ac:dyDescent="0.2">
      <c r="A8" t="s">
        <v>5</v>
      </c>
      <c r="B8">
        <v>10</v>
      </c>
    </row>
    <row r="9" spans="1:2" x14ac:dyDescent="0.2">
      <c r="B9">
        <f>SUM(B3:B8)</f>
        <v>225</v>
      </c>
    </row>
    <row r="12" spans="1:2" x14ac:dyDescent="0.2">
      <c r="A12" t="s">
        <v>6</v>
      </c>
      <c r="B12">
        <v>44</v>
      </c>
    </row>
    <row r="13" spans="1:2" x14ac:dyDescent="0.2">
      <c r="A13" t="s">
        <v>7</v>
      </c>
      <c r="B13">
        <f>B12*B9</f>
        <v>9900</v>
      </c>
    </row>
    <row r="14" spans="1:2" x14ac:dyDescent="0.2">
      <c r="A14" t="s">
        <v>8</v>
      </c>
      <c r="B14">
        <f>B13/60*100</f>
        <v>16500</v>
      </c>
    </row>
    <row r="15" spans="1:2" x14ac:dyDescent="0.2">
      <c r="A15" t="s">
        <v>9</v>
      </c>
      <c r="B15">
        <f>80000+B14</f>
        <v>96500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F204-909C-3342-8E2F-6C252A905202}">
  <dimension ref="A2:AC39"/>
  <sheetViews>
    <sheetView tabSelected="1" topLeftCell="C1" workbookViewId="0">
      <selection activeCell="E13" sqref="E13"/>
    </sheetView>
  </sheetViews>
  <sheetFormatPr baseColWidth="10" defaultRowHeight="16" x14ac:dyDescent="0.2"/>
  <cols>
    <col min="3" max="3" width="20.1640625" customWidth="1"/>
    <col min="5" max="5" width="11.1640625" bestFit="1" customWidth="1"/>
    <col min="7" max="7" width="11.1640625" bestFit="1" customWidth="1"/>
    <col min="20" max="20" width="17.5" customWidth="1"/>
    <col min="29" max="29" width="19.33203125" customWidth="1"/>
  </cols>
  <sheetData>
    <row r="2" spans="1:26" x14ac:dyDescent="0.2">
      <c r="D2" t="s">
        <v>64</v>
      </c>
      <c r="E2">
        <v>126</v>
      </c>
    </row>
    <row r="3" spans="1:26" x14ac:dyDescent="0.2">
      <c r="A3" s="1">
        <v>143058</v>
      </c>
      <c r="C3" s="4" t="s">
        <v>32</v>
      </c>
      <c r="D3" t="s">
        <v>62</v>
      </c>
      <c r="E3">
        <f>4221-126</f>
        <v>4095</v>
      </c>
      <c r="G3">
        <f>640+540+436+556+552+620+532+576+540+532+548+564+536</f>
        <v>7172</v>
      </c>
      <c r="K3" s="1">
        <v>126</v>
      </c>
      <c r="L3" s="3"/>
    </row>
    <row r="4" spans="1:26" x14ac:dyDescent="0.2">
      <c r="A4" s="1">
        <v>143265</v>
      </c>
      <c r="B4" s="2">
        <f>A4-A3</f>
        <v>207</v>
      </c>
      <c r="C4" s="4" t="s">
        <v>33</v>
      </c>
      <c r="D4" t="s">
        <v>63</v>
      </c>
      <c r="E4">
        <v>14</v>
      </c>
      <c r="K4" s="1">
        <v>154</v>
      </c>
      <c r="L4" s="3">
        <f>K4-K3</f>
        <v>28</v>
      </c>
    </row>
    <row r="5" spans="1:26" x14ac:dyDescent="0.2">
      <c r="A5" s="1">
        <v>143451</v>
      </c>
      <c r="B5" s="2">
        <f t="shared" ref="B5:B35" si="0">A5-A4</f>
        <v>186</v>
      </c>
      <c r="C5" s="4" t="s">
        <v>34</v>
      </c>
      <c r="K5" s="1">
        <v>216</v>
      </c>
      <c r="L5" s="3">
        <f t="shared" ref="L5:L37" si="1">K5-K4</f>
        <v>62</v>
      </c>
      <c r="T5" s="1" t="s">
        <v>12</v>
      </c>
      <c r="U5" s="3">
        <v>125</v>
      </c>
    </row>
    <row r="6" spans="1:26" x14ac:dyDescent="0.2">
      <c r="A6" s="1">
        <v>143479</v>
      </c>
      <c r="B6" s="2">
        <f t="shared" si="0"/>
        <v>28</v>
      </c>
      <c r="C6" s="4" t="s">
        <v>35</v>
      </c>
      <c r="D6" t="s">
        <v>65</v>
      </c>
      <c r="E6" s="5">
        <v>1000000000</v>
      </c>
      <c r="K6" s="1">
        <v>278</v>
      </c>
      <c r="L6" s="3">
        <f t="shared" si="1"/>
        <v>62</v>
      </c>
      <c r="O6" t="s">
        <v>10</v>
      </c>
      <c r="T6" s="1" t="s">
        <v>13</v>
      </c>
      <c r="U6" s="3">
        <v>1017</v>
      </c>
      <c r="V6">
        <f>U6-U5</f>
        <v>892</v>
      </c>
      <c r="X6" t="s">
        <v>11</v>
      </c>
    </row>
    <row r="7" spans="1:26" x14ac:dyDescent="0.2">
      <c r="A7" s="1">
        <v>143541</v>
      </c>
      <c r="B7" s="2">
        <f t="shared" si="0"/>
        <v>62</v>
      </c>
      <c r="C7" s="4" t="s">
        <v>36</v>
      </c>
      <c r="D7" t="s">
        <v>66</v>
      </c>
      <c r="E7">
        <f>E6-E2</f>
        <v>999999874</v>
      </c>
      <c r="K7" s="1">
        <v>1810</v>
      </c>
      <c r="L7" s="3">
        <f t="shared" si="1"/>
        <v>1532</v>
      </c>
      <c r="T7" s="1" t="s">
        <v>14</v>
      </c>
      <c r="U7" s="3">
        <v>4220</v>
      </c>
      <c r="V7">
        <f t="shared" ref="V7:V38" si="2">U7-U6</f>
        <v>3203</v>
      </c>
    </row>
    <row r="8" spans="1:26" x14ac:dyDescent="0.2">
      <c r="A8" s="1">
        <v>143603</v>
      </c>
      <c r="B8" s="2">
        <f t="shared" si="0"/>
        <v>62</v>
      </c>
      <c r="C8" s="4" t="s">
        <v>37</v>
      </c>
      <c r="D8" t="s">
        <v>67</v>
      </c>
      <c r="E8">
        <f>FLOOR(E7/E3,1)</f>
        <v>244200</v>
      </c>
      <c r="G8">
        <f>G3*E8</f>
        <v>1751402400</v>
      </c>
      <c r="K8" s="1">
        <v>2076</v>
      </c>
      <c r="L8" s="3">
        <f t="shared" si="1"/>
        <v>266</v>
      </c>
      <c r="T8" s="1" t="s">
        <v>15</v>
      </c>
      <c r="U8" s="1">
        <v>5112</v>
      </c>
      <c r="V8">
        <f t="shared" si="2"/>
        <v>892</v>
      </c>
      <c r="W8">
        <f>U7-U5</f>
        <v>4095</v>
      </c>
    </row>
    <row r="9" spans="1:26" x14ac:dyDescent="0.2">
      <c r="A9" s="1">
        <v>145135</v>
      </c>
      <c r="B9" s="2">
        <f t="shared" si="0"/>
        <v>1532</v>
      </c>
      <c r="C9" s="4" t="s">
        <v>38</v>
      </c>
      <c r="D9" t="s">
        <v>68</v>
      </c>
      <c r="E9">
        <f>E7-(E8*E3)</f>
        <v>874</v>
      </c>
      <c r="G9">
        <f>640+540+436+556</f>
        <v>2172</v>
      </c>
      <c r="K9" s="1">
        <v>2656</v>
      </c>
      <c r="L9" s="3">
        <f t="shared" si="1"/>
        <v>580</v>
      </c>
      <c r="T9" s="1" t="s">
        <v>16</v>
      </c>
      <c r="U9" s="1">
        <v>8315</v>
      </c>
      <c r="V9">
        <f t="shared" si="2"/>
        <v>3203</v>
      </c>
    </row>
    <row r="10" spans="1:26" x14ac:dyDescent="0.2">
      <c r="A10" s="1">
        <v>145401</v>
      </c>
      <c r="B10" s="2">
        <f t="shared" si="0"/>
        <v>266</v>
      </c>
      <c r="C10" s="4" t="s">
        <v>39</v>
      </c>
      <c r="D10" t="s">
        <v>69</v>
      </c>
      <c r="E10">
        <v>4</v>
      </c>
      <c r="G10">
        <f>G9+G8</f>
        <v>1751404572</v>
      </c>
      <c r="K10" s="1">
        <v>2732</v>
      </c>
      <c r="L10" s="3">
        <f t="shared" si="1"/>
        <v>76</v>
      </c>
      <c r="T10" s="1" t="s">
        <v>17</v>
      </c>
      <c r="U10" s="1">
        <v>9207</v>
      </c>
      <c r="V10">
        <f t="shared" si="2"/>
        <v>892</v>
      </c>
      <c r="W10">
        <f>U10-U8</f>
        <v>4095</v>
      </c>
    </row>
    <row r="11" spans="1:26" x14ac:dyDescent="0.2">
      <c r="A11" s="1">
        <v>145981</v>
      </c>
      <c r="B11" s="2">
        <f t="shared" si="0"/>
        <v>580</v>
      </c>
      <c r="C11" s="4" t="s">
        <v>40</v>
      </c>
      <c r="D11" t="s">
        <v>88</v>
      </c>
      <c r="E11">
        <f>I28</f>
        <v>7172</v>
      </c>
      <c r="K11" s="1">
        <v>3166</v>
      </c>
      <c r="L11" s="3">
        <f t="shared" si="1"/>
        <v>434</v>
      </c>
      <c r="T11" s="1" t="s">
        <v>18</v>
      </c>
      <c r="U11" s="1">
        <v>12410</v>
      </c>
      <c r="V11">
        <f t="shared" si="2"/>
        <v>3203</v>
      </c>
      <c r="X11">
        <v>1000000000</v>
      </c>
    </row>
    <row r="12" spans="1:26" x14ac:dyDescent="0.2">
      <c r="A12" s="1">
        <v>146057</v>
      </c>
      <c r="B12" s="2">
        <f t="shared" si="0"/>
        <v>76</v>
      </c>
      <c r="C12" s="4" t="s">
        <v>41</v>
      </c>
      <c r="D12" t="s">
        <v>89</v>
      </c>
      <c r="E12">
        <f>E11*E8</f>
        <v>1751402400</v>
      </c>
      <c r="K12" s="1">
        <v>3244</v>
      </c>
      <c r="L12" s="3">
        <f t="shared" si="1"/>
        <v>78</v>
      </c>
      <c r="T12" s="1" t="s">
        <v>19</v>
      </c>
      <c r="U12" s="1">
        <v>13302</v>
      </c>
      <c r="V12">
        <f t="shared" si="2"/>
        <v>892</v>
      </c>
      <c r="X12">
        <f>X11-125</f>
        <v>999999875</v>
      </c>
    </row>
    <row r="13" spans="1:26" x14ac:dyDescent="0.2">
      <c r="A13" s="1">
        <v>146491</v>
      </c>
      <c r="B13" s="2">
        <f t="shared" si="0"/>
        <v>434</v>
      </c>
      <c r="C13" s="4" t="s">
        <v>42</v>
      </c>
      <c r="D13" s="6" t="s">
        <v>90</v>
      </c>
      <c r="E13" s="6">
        <f>E12+G9</f>
        <v>1751404572</v>
      </c>
      <c r="K13" s="1">
        <v>3273</v>
      </c>
      <c r="L13" s="3">
        <f t="shared" si="1"/>
        <v>29</v>
      </c>
      <c r="T13" s="1" t="s">
        <v>20</v>
      </c>
      <c r="U13" s="1">
        <v>16505</v>
      </c>
      <c r="V13">
        <f t="shared" si="2"/>
        <v>3203</v>
      </c>
      <c r="X13">
        <f>X12/4095</f>
        <v>244200.21367521369</v>
      </c>
      <c r="Z13">
        <v>278388552</v>
      </c>
    </row>
    <row r="14" spans="1:26" x14ac:dyDescent="0.2">
      <c r="A14" s="1">
        <v>146569</v>
      </c>
      <c r="B14" s="2">
        <f t="shared" si="0"/>
        <v>78</v>
      </c>
      <c r="C14" s="4" t="s">
        <v>43</v>
      </c>
      <c r="K14" s="1">
        <v>3828</v>
      </c>
      <c r="L14" s="3">
        <f t="shared" si="1"/>
        <v>555</v>
      </c>
      <c r="Q14" t="s">
        <v>64</v>
      </c>
      <c r="R14">
        <v>125</v>
      </c>
      <c r="T14" s="1" t="s">
        <v>21</v>
      </c>
      <c r="U14" s="1">
        <v>17397</v>
      </c>
      <c r="V14">
        <f t="shared" si="2"/>
        <v>892</v>
      </c>
      <c r="X14">
        <f>X13*3</f>
        <v>732600.641025641</v>
      </c>
    </row>
    <row r="15" spans="1:26" x14ac:dyDescent="0.2">
      <c r="A15" s="1">
        <v>146598</v>
      </c>
      <c r="B15" s="2">
        <f t="shared" si="0"/>
        <v>29</v>
      </c>
      <c r="C15" s="4" t="s">
        <v>44</v>
      </c>
      <c r="G15" s="1" t="s">
        <v>70</v>
      </c>
      <c r="H15" s="4"/>
      <c r="I15">
        <v>640</v>
      </c>
      <c r="K15" s="1">
        <v>4035</v>
      </c>
      <c r="L15" s="3">
        <f t="shared" si="1"/>
        <v>207</v>
      </c>
      <c r="Q15" t="s">
        <v>62</v>
      </c>
      <c r="R15">
        <f>4220-125</f>
        <v>4095</v>
      </c>
      <c r="T15" s="1" t="s">
        <v>22</v>
      </c>
      <c r="U15" s="1">
        <v>20600</v>
      </c>
      <c r="V15">
        <f t="shared" si="2"/>
        <v>3203</v>
      </c>
    </row>
    <row r="16" spans="1:26" x14ac:dyDescent="0.2">
      <c r="A16" s="1">
        <v>147153</v>
      </c>
      <c r="B16" s="2">
        <f t="shared" si="0"/>
        <v>555</v>
      </c>
      <c r="C16" s="3" t="s">
        <v>45</v>
      </c>
      <c r="G16" s="1" t="s">
        <v>71</v>
      </c>
      <c r="H16" s="4"/>
      <c r="I16">
        <v>540</v>
      </c>
      <c r="K16" s="1">
        <v>4221</v>
      </c>
      <c r="L16" s="3">
        <f t="shared" si="1"/>
        <v>186</v>
      </c>
      <c r="M16">
        <f>K16-K4</f>
        <v>4067</v>
      </c>
      <c r="Q16" t="s">
        <v>63</v>
      </c>
      <c r="R16">
        <v>3</v>
      </c>
      <c r="T16" s="1" t="s">
        <v>23</v>
      </c>
      <c r="U16" s="1">
        <v>21492</v>
      </c>
      <c r="V16">
        <f t="shared" si="2"/>
        <v>892</v>
      </c>
    </row>
    <row r="17" spans="1:29" x14ac:dyDescent="0.2">
      <c r="A17" s="1">
        <v>147360</v>
      </c>
      <c r="B17">
        <f t="shared" si="0"/>
        <v>207</v>
      </c>
      <c r="C17" s="3" t="s">
        <v>46</v>
      </c>
      <c r="G17" s="1" t="s">
        <v>72</v>
      </c>
      <c r="H17" s="4"/>
      <c r="I17">
        <v>436</v>
      </c>
      <c r="K17" s="1">
        <v>4249</v>
      </c>
      <c r="L17">
        <f t="shared" si="1"/>
        <v>28</v>
      </c>
      <c r="T17" s="1" t="s">
        <v>24</v>
      </c>
      <c r="U17" s="1">
        <v>24695</v>
      </c>
      <c r="V17">
        <f t="shared" si="2"/>
        <v>3203</v>
      </c>
    </row>
    <row r="18" spans="1:29" x14ac:dyDescent="0.2">
      <c r="A18" s="1">
        <v>147546</v>
      </c>
      <c r="B18">
        <f t="shared" si="0"/>
        <v>186</v>
      </c>
      <c r="C18" s="3" t="s">
        <v>47</v>
      </c>
      <c r="G18" s="1" t="s">
        <v>73</v>
      </c>
      <c r="H18" s="4"/>
      <c r="I18">
        <v>556</v>
      </c>
      <c r="K18" s="1">
        <v>4311</v>
      </c>
      <c r="L18">
        <f t="shared" si="1"/>
        <v>62</v>
      </c>
      <c r="Q18" t="s">
        <v>65</v>
      </c>
      <c r="R18" s="5">
        <v>1000000000</v>
      </c>
      <c r="T18" s="1" t="s">
        <v>25</v>
      </c>
      <c r="U18" s="1">
        <v>25587</v>
      </c>
      <c r="V18">
        <f t="shared" si="2"/>
        <v>892</v>
      </c>
    </row>
    <row r="19" spans="1:29" x14ac:dyDescent="0.2">
      <c r="A19" s="1">
        <v>147574</v>
      </c>
      <c r="B19">
        <f t="shared" si="0"/>
        <v>28</v>
      </c>
      <c r="C19" s="3" t="s">
        <v>48</v>
      </c>
      <c r="G19" s="1" t="s">
        <v>74</v>
      </c>
      <c r="H19" s="4"/>
      <c r="I19">
        <v>552</v>
      </c>
      <c r="K19" s="1">
        <v>4373</v>
      </c>
      <c r="L19">
        <f t="shared" si="1"/>
        <v>62</v>
      </c>
      <c r="Q19" t="s">
        <v>66</v>
      </c>
      <c r="R19">
        <f>R18-R14</f>
        <v>999999875</v>
      </c>
      <c r="T19" s="1" t="s">
        <v>26</v>
      </c>
      <c r="U19" s="1">
        <v>28790</v>
      </c>
      <c r="V19">
        <f t="shared" si="2"/>
        <v>3203</v>
      </c>
    </row>
    <row r="20" spans="1:29" x14ac:dyDescent="0.2">
      <c r="A20" s="1">
        <v>147636</v>
      </c>
      <c r="B20">
        <f t="shared" si="0"/>
        <v>62</v>
      </c>
      <c r="C20" s="3" t="s">
        <v>49</v>
      </c>
      <c r="G20" s="1" t="s">
        <v>75</v>
      </c>
      <c r="H20" s="4"/>
      <c r="I20">
        <v>620</v>
      </c>
      <c r="K20" s="1">
        <v>5905</v>
      </c>
      <c r="L20">
        <f t="shared" si="1"/>
        <v>1532</v>
      </c>
      <c r="Q20" t="s">
        <v>67</v>
      </c>
      <c r="R20">
        <f>FLOOR(R19/R15,1)</f>
        <v>244200</v>
      </c>
      <c r="T20" s="1" t="s">
        <v>27</v>
      </c>
      <c r="U20" s="1">
        <v>29682</v>
      </c>
      <c r="V20">
        <f t="shared" si="2"/>
        <v>892</v>
      </c>
      <c r="X20">
        <f>X12/W10</f>
        <v>244200.21367521369</v>
      </c>
      <c r="Z20">
        <f>X11/Z13</f>
        <v>3.5921017326890654</v>
      </c>
    </row>
    <row r="21" spans="1:29" x14ac:dyDescent="0.2">
      <c r="A21" s="1">
        <v>147698</v>
      </c>
      <c r="B21">
        <f t="shared" si="0"/>
        <v>62</v>
      </c>
      <c r="C21" s="3" t="s">
        <v>50</v>
      </c>
      <c r="G21" s="1" t="s">
        <v>76</v>
      </c>
      <c r="H21" s="4"/>
      <c r="I21">
        <v>532</v>
      </c>
      <c r="K21" s="1">
        <v>6171</v>
      </c>
      <c r="L21">
        <f t="shared" si="1"/>
        <v>266</v>
      </c>
      <c r="Q21" t="s">
        <v>68</v>
      </c>
      <c r="R21">
        <f>R19-(R20*R15)</f>
        <v>875</v>
      </c>
      <c r="T21" s="1" t="s">
        <v>28</v>
      </c>
      <c r="U21" s="1">
        <v>32885</v>
      </c>
      <c r="V21">
        <f t="shared" si="2"/>
        <v>3203</v>
      </c>
      <c r="X21">
        <f>X20*1140</f>
        <v>278388243.58974361</v>
      </c>
    </row>
    <row r="22" spans="1:29" x14ac:dyDescent="0.2">
      <c r="A22" s="1">
        <v>149230</v>
      </c>
      <c r="B22">
        <f t="shared" si="0"/>
        <v>1532</v>
      </c>
      <c r="C22" s="3" t="s">
        <v>51</v>
      </c>
      <c r="G22" s="1" t="s">
        <v>77</v>
      </c>
      <c r="H22" s="4"/>
      <c r="I22">
        <v>576</v>
      </c>
      <c r="K22" s="1">
        <v>6751</v>
      </c>
      <c r="L22">
        <f t="shared" si="1"/>
        <v>580</v>
      </c>
      <c r="Q22" t="s">
        <v>69</v>
      </c>
      <c r="R22">
        <v>1</v>
      </c>
      <c r="T22" s="1" t="s">
        <v>29</v>
      </c>
      <c r="U22" s="1">
        <v>33777</v>
      </c>
      <c r="V22">
        <f t="shared" si="2"/>
        <v>892</v>
      </c>
      <c r="X22">
        <f>Z13-X21</f>
        <v>308.41025638580322</v>
      </c>
    </row>
    <row r="23" spans="1:29" x14ac:dyDescent="0.2">
      <c r="A23" s="1">
        <v>149496</v>
      </c>
      <c r="B23">
        <f t="shared" si="0"/>
        <v>266</v>
      </c>
      <c r="C23" s="3" t="s">
        <v>52</v>
      </c>
      <c r="G23" s="1" t="s">
        <v>78</v>
      </c>
      <c r="H23" s="4"/>
      <c r="I23">
        <v>540</v>
      </c>
      <c r="K23" s="1">
        <v>6827</v>
      </c>
      <c r="L23">
        <f t="shared" si="1"/>
        <v>76</v>
      </c>
      <c r="Q23" t="s">
        <v>88</v>
      </c>
      <c r="R23">
        <f>552+588</f>
        <v>1140</v>
      </c>
      <c r="T23" s="1" t="s">
        <v>30</v>
      </c>
      <c r="U23" s="1">
        <v>36980</v>
      </c>
      <c r="V23">
        <f t="shared" si="2"/>
        <v>3203</v>
      </c>
    </row>
    <row r="24" spans="1:29" x14ac:dyDescent="0.2">
      <c r="A24" s="1">
        <v>150076</v>
      </c>
      <c r="B24">
        <f t="shared" si="0"/>
        <v>580</v>
      </c>
      <c r="C24" s="3" t="s">
        <v>53</v>
      </c>
      <c r="G24" s="1" t="s">
        <v>79</v>
      </c>
      <c r="H24" s="4"/>
      <c r="I24">
        <v>532</v>
      </c>
      <c r="K24" s="1">
        <v>7261</v>
      </c>
      <c r="L24">
        <f t="shared" si="1"/>
        <v>434</v>
      </c>
      <c r="Q24" t="s">
        <v>89</v>
      </c>
      <c r="R24">
        <f>R23*R20</f>
        <v>278388000</v>
      </c>
      <c r="T24" s="1" t="s">
        <v>31</v>
      </c>
      <c r="U24" s="1">
        <v>37872</v>
      </c>
      <c r="V24">
        <f t="shared" si="2"/>
        <v>892</v>
      </c>
    </row>
    <row r="25" spans="1:29" x14ac:dyDescent="0.2">
      <c r="A25" s="1">
        <v>150152</v>
      </c>
      <c r="B25">
        <f t="shared" si="0"/>
        <v>76</v>
      </c>
      <c r="C25" s="3" t="s">
        <v>54</v>
      </c>
      <c r="G25" s="1" t="s">
        <v>80</v>
      </c>
      <c r="H25" s="4"/>
      <c r="I25">
        <v>548</v>
      </c>
      <c r="K25" s="1">
        <v>7339</v>
      </c>
      <c r="L25">
        <f t="shared" si="1"/>
        <v>78</v>
      </c>
      <c r="Q25" s="6" t="s">
        <v>90</v>
      </c>
      <c r="R25" s="6">
        <f>R24+552</f>
        <v>278388552</v>
      </c>
      <c r="U25" s="1">
        <v>41075</v>
      </c>
      <c r="V25">
        <f t="shared" si="2"/>
        <v>3203</v>
      </c>
    </row>
    <row r="26" spans="1:29" x14ac:dyDescent="0.2">
      <c r="A26" s="1">
        <v>150586</v>
      </c>
      <c r="B26">
        <f t="shared" si="0"/>
        <v>434</v>
      </c>
      <c r="C26" s="3" t="s">
        <v>55</v>
      </c>
      <c r="G26" s="1" t="s">
        <v>81</v>
      </c>
      <c r="H26" s="4"/>
      <c r="I26">
        <v>564</v>
      </c>
      <c r="K26" s="1">
        <v>7368</v>
      </c>
      <c r="L26">
        <f t="shared" si="1"/>
        <v>29</v>
      </c>
      <c r="U26" s="1">
        <v>41967</v>
      </c>
      <c r="V26">
        <f t="shared" si="2"/>
        <v>892</v>
      </c>
    </row>
    <row r="27" spans="1:29" x14ac:dyDescent="0.2">
      <c r="A27" s="1">
        <v>150664</v>
      </c>
      <c r="B27">
        <f t="shared" si="0"/>
        <v>78</v>
      </c>
      <c r="C27" s="3" t="s">
        <v>56</v>
      </c>
      <c r="G27" s="1" t="s">
        <v>82</v>
      </c>
      <c r="H27" s="4"/>
      <c r="I27">
        <v>536</v>
      </c>
      <c r="K27" s="1">
        <v>7923</v>
      </c>
      <c r="L27">
        <f t="shared" si="1"/>
        <v>555</v>
      </c>
      <c r="U27" s="1">
        <v>45170</v>
      </c>
      <c r="V27">
        <f t="shared" si="2"/>
        <v>3203</v>
      </c>
    </row>
    <row r="28" spans="1:29" x14ac:dyDescent="0.2">
      <c r="A28" s="1">
        <v>150693</v>
      </c>
      <c r="B28">
        <f t="shared" si="0"/>
        <v>29</v>
      </c>
      <c r="C28" s="3" t="s">
        <v>57</v>
      </c>
      <c r="E28">
        <f>8130-4221</f>
        <v>3909</v>
      </c>
      <c r="G28" s="1" t="s">
        <v>83</v>
      </c>
      <c r="I28">
        <f>SUM(I15:I27)</f>
        <v>7172</v>
      </c>
      <c r="K28" s="1">
        <v>8130</v>
      </c>
      <c r="L28">
        <f t="shared" si="1"/>
        <v>207</v>
      </c>
      <c r="U28" s="1">
        <v>46062</v>
      </c>
      <c r="V28">
        <f t="shared" si="2"/>
        <v>892</v>
      </c>
    </row>
    <row r="29" spans="1:29" x14ac:dyDescent="0.2">
      <c r="A29" s="1">
        <v>151248</v>
      </c>
      <c r="B29">
        <f t="shared" si="0"/>
        <v>555</v>
      </c>
      <c r="C29" s="1" t="s">
        <v>58</v>
      </c>
      <c r="G29" s="1" t="s">
        <v>84</v>
      </c>
      <c r="K29" s="1">
        <v>8316</v>
      </c>
      <c r="L29">
        <f t="shared" si="1"/>
        <v>186</v>
      </c>
      <c r="U29" s="1">
        <v>49265</v>
      </c>
      <c r="V29">
        <f t="shared" si="2"/>
        <v>3203</v>
      </c>
    </row>
    <row r="30" spans="1:29" x14ac:dyDescent="0.2">
      <c r="A30" s="1">
        <v>151455</v>
      </c>
      <c r="B30">
        <f t="shared" si="0"/>
        <v>207</v>
      </c>
      <c r="C30" s="1" t="s">
        <v>59</v>
      </c>
      <c r="G30" s="1" t="s">
        <v>85</v>
      </c>
      <c r="K30" s="1">
        <v>8344</v>
      </c>
      <c r="L30">
        <f t="shared" si="1"/>
        <v>28</v>
      </c>
      <c r="U30" s="1">
        <v>50157</v>
      </c>
      <c r="V30">
        <f t="shared" si="2"/>
        <v>892</v>
      </c>
      <c r="AC30">
        <f>552+588</f>
        <v>1140</v>
      </c>
    </row>
    <row r="31" spans="1:29" x14ac:dyDescent="0.2">
      <c r="A31" s="1">
        <v>151641</v>
      </c>
      <c r="B31">
        <f t="shared" si="0"/>
        <v>186</v>
      </c>
      <c r="C31" s="1" t="s">
        <v>60</v>
      </c>
      <c r="G31" s="1" t="s">
        <v>86</v>
      </c>
      <c r="K31" s="1">
        <v>8406</v>
      </c>
      <c r="L31">
        <f t="shared" si="1"/>
        <v>62</v>
      </c>
      <c r="U31" s="1">
        <v>53360</v>
      </c>
      <c r="V31">
        <f t="shared" si="2"/>
        <v>3203</v>
      </c>
      <c r="AC31">
        <f>Z13/AC30</f>
        <v>244200.48421052631</v>
      </c>
    </row>
    <row r="32" spans="1:29" x14ac:dyDescent="0.2">
      <c r="A32" s="1">
        <v>151669</v>
      </c>
      <c r="B32">
        <f t="shared" si="0"/>
        <v>28</v>
      </c>
      <c r="C32" s="1" t="s">
        <v>61</v>
      </c>
      <c r="G32" s="1" t="s">
        <v>87</v>
      </c>
      <c r="K32" s="1">
        <v>8468</v>
      </c>
      <c r="L32">
        <f t="shared" si="1"/>
        <v>62</v>
      </c>
      <c r="U32" s="1">
        <v>54252</v>
      </c>
      <c r="V32">
        <f t="shared" si="2"/>
        <v>892</v>
      </c>
    </row>
    <row r="33" spans="1:22" x14ac:dyDescent="0.2">
      <c r="A33" s="1">
        <v>151731</v>
      </c>
      <c r="B33">
        <f t="shared" si="0"/>
        <v>62</v>
      </c>
      <c r="K33" s="1">
        <v>10000</v>
      </c>
      <c r="L33">
        <f t="shared" si="1"/>
        <v>1532</v>
      </c>
      <c r="U33" s="1">
        <v>57455</v>
      </c>
      <c r="V33">
        <f t="shared" si="2"/>
        <v>3203</v>
      </c>
    </row>
    <row r="34" spans="1:22" x14ac:dyDescent="0.2">
      <c r="A34" s="1">
        <v>151793</v>
      </c>
      <c r="B34">
        <f t="shared" si="0"/>
        <v>62</v>
      </c>
      <c r="K34" s="1">
        <v>10266</v>
      </c>
      <c r="L34">
        <f t="shared" si="1"/>
        <v>266</v>
      </c>
      <c r="U34" s="1">
        <v>58347</v>
      </c>
      <c r="V34">
        <f t="shared" si="2"/>
        <v>892</v>
      </c>
    </row>
    <row r="35" spans="1:22" x14ac:dyDescent="0.2">
      <c r="A35" s="1">
        <v>153325</v>
      </c>
      <c r="B35">
        <f t="shared" si="0"/>
        <v>1532</v>
      </c>
      <c r="K35" s="1">
        <v>10846</v>
      </c>
      <c r="L35">
        <f t="shared" si="1"/>
        <v>580</v>
      </c>
      <c r="U35" s="1">
        <v>61550</v>
      </c>
      <c r="V35">
        <f t="shared" si="2"/>
        <v>3203</v>
      </c>
    </row>
    <row r="36" spans="1:22" x14ac:dyDescent="0.2">
      <c r="K36" s="1">
        <v>10922</v>
      </c>
      <c r="L36">
        <f t="shared" si="1"/>
        <v>76</v>
      </c>
      <c r="U36" s="1">
        <v>62442</v>
      </c>
      <c r="V36">
        <f t="shared" si="2"/>
        <v>892</v>
      </c>
    </row>
    <row r="37" spans="1:22" x14ac:dyDescent="0.2">
      <c r="K37" s="1">
        <v>11356</v>
      </c>
      <c r="L37">
        <f t="shared" si="1"/>
        <v>434</v>
      </c>
      <c r="U37" s="1">
        <v>65645</v>
      </c>
      <c r="V37">
        <f t="shared" si="2"/>
        <v>3203</v>
      </c>
    </row>
    <row r="38" spans="1:22" x14ac:dyDescent="0.2">
      <c r="E38">
        <f>126+(3909*E8)</f>
        <v>954577926</v>
      </c>
      <c r="G38">
        <f>999998129/E3</f>
        <v>244199.78730158729</v>
      </c>
      <c r="U38" s="1">
        <v>66537</v>
      </c>
      <c r="V38">
        <f t="shared" si="2"/>
        <v>892</v>
      </c>
    </row>
    <row r="39" spans="1:22" x14ac:dyDescent="0.2">
      <c r="G39">
        <f>E38-(255819*3909)</f>
        <v>-45418545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Betteridge</dc:creator>
  <cp:lastModifiedBy>David Betteridge</cp:lastModifiedBy>
  <dcterms:created xsi:type="dcterms:W3CDTF">2025-11-22T14:20:43Z</dcterms:created>
  <dcterms:modified xsi:type="dcterms:W3CDTF">2025-11-25T18:43:41Z</dcterms:modified>
</cp:coreProperties>
</file>